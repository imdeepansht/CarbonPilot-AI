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EA Grid EF FY25-26" sheetId="2" state="visible" r:id="rId4"/>
    <sheet name="CEA Grid EF Trend" sheetId="3" state="visible" r:id="rId5"/>
    <sheet name="Nxtra Metrics" sheetId="4" state="visible" r:id="rId6"/>
    <sheet name="Nxtra Energy Conv" sheetId="5" state="visible" r:id="rId7"/>
    <sheet name="Airtel BRSR Data" sheetId="6" state="visible" r:id="rId8"/>
    <sheet name="Airtel Emission Factor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<sst xmlns="http://schemas.openxmlformats.org/spreadsheetml/2006/main" count="261" uniqueCount="182">
  <si>
    <t xml:space="preserve">Airtel / Nxtra Energy &amp; Emissions: Combined Workbook</t>
  </si>
  <si>
    <t xml:space="preserve">All three source files in one workbook. Green = linked from another sheet; black = formula. Note the reporting years differ (see row 5).</t>
  </si>
  <si>
    <t xml:space="preserve">Metric</t>
  </si>
  <si>
    <t xml:space="preserve">Bharti Airtel (standalone)</t>
  </si>
  <si>
    <t xml:space="preserve">Nxtra by Airtel</t>
  </si>
  <si>
    <t xml:space="preserve">Unit</t>
  </si>
  <si>
    <t xml:space="preserve">Note</t>
  </si>
  <si>
    <t xml:space="preserve">Reporting year</t>
  </si>
  <si>
    <t xml:space="preserve">FY 2024-25</t>
  </si>
  <si>
    <t xml:space="preserve">FY 2025-26</t>
  </si>
  <si>
    <t xml:space="preserve">Years are not aligned; compare with care</t>
  </si>
  <si>
    <t xml:space="preserve">Total energy</t>
  </si>
  <si>
    <t xml:space="preserve">GJ</t>
  </si>
  <si>
    <t xml:space="preserve">Grid electricity</t>
  </si>
  <si>
    <t xml:space="preserve">Grid electricity (MWh)</t>
  </si>
  <si>
    <t xml:space="preserve">MWh</t>
  </si>
  <si>
    <t xml:space="preserve">GJ / 3.6</t>
  </si>
  <si>
    <t xml:space="preserve">Renewable energy</t>
  </si>
  <si>
    <t xml:space="preserve">Renewable share of total energy</t>
  </si>
  <si>
    <t xml:space="preserve">%</t>
  </si>
  <si>
    <t xml:space="preserve">Calculated here</t>
  </si>
  <si>
    <t xml:space="preserve">Scope 1 emissions</t>
  </si>
  <si>
    <t xml:space="preserve">tCO2e</t>
  </si>
  <si>
    <t xml:space="preserve">Scope 2 emissions (location-based)</t>
  </si>
  <si>
    <t xml:space="preserve">Total Scope 1 + 2</t>
  </si>
  <si>
    <t xml:space="preserve">Implied grid emission factor</t>
  </si>
  <si>
    <t xml:space="preserve">tCO2e/MWh</t>
  </si>
  <si>
    <t xml:space="preserve">Scope 2 / grid MWh</t>
  </si>
  <si>
    <t xml:space="preserve">CEA weighted-avg grid EF, same year</t>
  </si>
  <si>
    <t xml:space="preserve">tCO2/MWh</t>
  </si>
  <si>
    <t xml:space="preserve">CEA CO2 Baseline Database v22.0</t>
  </si>
  <si>
    <t xml:space="preserve">Implied EF vs CEA weighted avg</t>
  </si>
  <si>
    <t xml:space="preserve">Positive = company factor above national average</t>
  </si>
  <si>
    <t xml:space="preserve">CEA combined margin, same year</t>
  </si>
  <si>
    <t xml:space="preserve">Sheet guide</t>
  </si>
  <si>
    <t xml:space="preserve">CEA Grid EF FY25-26</t>
  </si>
  <si>
    <t xml:space="preserve">India grid emission factor FY 2025-26 (CEA)</t>
  </si>
  <si>
    <t xml:space="preserve">CEA Grid EF Trend</t>
  </si>
  <si>
    <t xml:space="preserve">Grid emission factors FY 2021-22 to 2025-26 (CEA)</t>
  </si>
  <si>
    <t xml:space="preserve">Nxtra Metrics</t>
  </si>
  <si>
    <t xml:space="preserve">Nxtra sustainability report FY 2025-26: extracted metrics</t>
  </si>
  <si>
    <t xml:space="preserve">Nxtra Energy Conv</t>
  </si>
  <si>
    <t xml:space="preserve">Nxtra GJ to MWh conversion and renewable share</t>
  </si>
  <si>
    <t xml:space="preserve">Airtel BRSR Data</t>
  </si>
  <si>
    <t xml:space="preserve">Bharti Airtel BRSR FY 2024-25: energy and emissions</t>
  </si>
  <si>
    <t xml:space="preserve">Airtel Emission Factors</t>
  </si>
  <si>
    <t xml:space="preserve">Airtel derived emission factors</t>
  </si>
  <si>
    <t xml:space="preserve">Caveat: Airtel figures are company-wide (mostly telecom network); Nxtra is the data-centre arm. Sources are the original files on each sheet.</t>
  </si>
  <si>
    <t xml:space="preserve">India Grid Emission Factor, FY 2025-26 (CEA CO2 Baseline Database v22.0)</t>
  </si>
  <si>
    <t xml:space="preserve">Including RES, captive injection and cross-border transfers. Blue = inputs from CEA database; black = formulas.</t>
  </si>
  <si>
    <t xml:space="preserve">Input</t>
  </si>
  <si>
    <t xml:space="preserve">Value</t>
  </si>
  <si>
    <t xml:space="preserve">Total CO2 emissions</t>
  </si>
  <si>
    <t xml:space="preserve">Million tonnes</t>
  </si>
  <si>
    <t xml:space="preserve">Net generation (incl. imports, RES, captive)</t>
  </si>
  <si>
    <t xml:space="preserve">BU</t>
  </si>
  <si>
    <t xml:space="preserve">Operating margin (OM), published</t>
  </si>
  <si>
    <t xml:space="preserve">Build margin (BM), published</t>
  </si>
  <si>
    <t xml:space="preserve">Weight on OM</t>
  </si>
  <si>
    <t xml:space="preserve">fraction</t>
  </si>
  <si>
    <t xml:space="preserve">Calculated</t>
  </si>
  <si>
    <t xml:space="preserve">Weighted average / Grid Emission Factor</t>
  </si>
  <si>
    <t xml:space="preserve">Combined margin (CM)</t>
  </si>
  <si>
    <t xml:space="preserve">Published values (Results sheet, incl. imports)</t>
  </si>
  <si>
    <t xml:space="preserve">Weighted average</t>
  </si>
  <si>
    <t xml:space="preserve">Operating margin</t>
  </si>
  <si>
    <t xml:space="preserve">Build margin</t>
  </si>
  <si>
    <t xml:space="preserve">Combined margin</t>
  </si>
  <si>
    <t xml:space="preserve">Source: CEA CO2 Baseline Database v22.0 (Excel, Results sheet: AA14-AA17, AA31, O41) and User Guide v22.0. https://cea.nic.in/cdm-co2-baseline-database/</t>
  </si>
  <si>
    <t xml:space="preserve">Calculated GEF and CM match the database Results sheet to 4 decimals.</t>
  </si>
  <si>
    <t xml:space="preserve">Grid emission factors, FY 2021-22 to 2025-26 (incl. cross-border transfers), tCO2/MWh</t>
  </si>
  <si>
    <t xml:space="preserve">Factor</t>
  </si>
  <si>
    <t xml:space="preserve">2021-22</t>
  </si>
  <si>
    <t xml:space="preserve">2022-23</t>
  </si>
  <si>
    <t xml:space="preserve">2023-24</t>
  </si>
  <si>
    <t xml:space="preserve">2024-25</t>
  </si>
  <si>
    <t xml:space="preserve">2025-26</t>
  </si>
  <si>
    <t xml:space="preserve">Weighted average (incl. RES)</t>
  </si>
  <si>
    <t xml:space="preserve">Change in weighted average, 2024-25 to 2025-26</t>
  </si>
  <si>
    <t xml:space="preserve">Change over 5 years (2021-22 to 2025-26)</t>
  </si>
  <si>
    <t xml:space="preserve">Source: CEA CO2 Baseline Database v22.0, Results sheet (incl. imports, rows 14-17). BM/CM from 2023-24 include RE generation, so they are not comparable with earlier years.</t>
  </si>
  <si>
    <t xml:space="preserve">Nxtra by Airtel – Sustainability Report FY 2025-26: Extracted Metrics</t>
  </si>
  <si>
    <t xml:space="preserve">Term</t>
  </si>
  <si>
    <t xml:space="preserve">Source in report</t>
  </si>
  <si>
    <t xml:space="preserve">Renewable electricity sourced to date</t>
  </si>
  <si>
    <t xml:space="preserve">Planet – Scope 2 section (p. 29)</t>
  </si>
  <si>
    <t xml:space="preserve">Cumulative, not FY-only</t>
  </si>
  <si>
    <t xml:space="preserve">Reduction in cooling energy consumption</t>
  </si>
  <si>
    <t xml:space="preserve">Energy efficiency section</t>
  </si>
  <si>
    <t xml:space="preserve">Avoided 4,702 tCO₂e</t>
  </si>
  <si>
    <t xml:space="preserve">Renewable</t>
  </si>
  <si>
    <t xml:space="preserve">Renewable energy consumption – total</t>
  </si>
  <si>
    <t xml:space="preserve">GRI 302-1</t>
  </si>
  <si>
    <t xml:space="preserve">  Wind</t>
  </si>
  <si>
    <t xml:space="preserve">  Solar</t>
  </si>
  <si>
    <t xml:space="preserve">Share of electricity in large DCs that is renewable</t>
  </si>
  <si>
    <t xml:space="preserve">Targets table</t>
  </si>
  <si>
    <t xml:space="preserve">Target: 70% by FY 2026-27</t>
  </si>
  <si>
    <t xml:space="preserve">Diesel</t>
  </si>
  <si>
    <t xml:space="preserve">Diesel consumption</t>
  </si>
  <si>
    <t xml:space="preserve">Part of non-renewable energy</t>
  </si>
  <si>
    <t xml:space="preserve">Non-renewable</t>
  </si>
  <si>
    <t xml:space="preserve">Electricity (grid)</t>
  </si>
  <si>
    <t xml:space="preserve">Non-renewable energy – total</t>
  </si>
  <si>
    <t xml:space="preserve">Total</t>
  </si>
  <si>
    <t xml:space="preserve">Total energy consumption</t>
  </si>
  <si>
    <t xml:space="preserve">Scope 1</t>
  </si>
  <si>
    <t xml:space="preserve">Gross Scope 1 emissions</t>
  </si>
  <si>
    <t xml:space="preserve">tCO₂e</t>
  </si>
  <si>
    <t xml:space="preserve">GRI 305-1</t>
  </si>
  <si>
    <t xml:space="preserve">Mainly diesel in standby DG sets + HFC refrigerants; down 8% YoY</t>
  </si>
  <si>
    <t xml:space="preserve">Base year emissions (FY 2022-23)</t>
  </si>
  <si>
    <t xml:space="preserve">Scope 2</t>
  </si>
  <si>
    <t xml:space="preserve">Location-based Scope 2 emissions</t>
  </si>
  <si>
    <t xml:space="preserve">GRI 305-2</t>
  </si>
  <si>
    <t xml:space="preserve">No market-based figure reported</t>
  </si>
  <si>
    <t xml:space="preserve">Emissions avoided – renewable energy sourcing</t>
  </si>
  <si>
    <t xml:space="preserve">GRI 305-5</t>
  </si>
  <si>
    <t xml:space="preserve">PUE</t>
  </si>
  <si>
    <t xml:space="preserve">Emissions avoided – energy efficiency (PUE reduction)</t>
  </si>
  <si>
    <t xml:space="preserve">Improvement in average PUE vs FY 2020-21 baseline</t>
  </si>
  <si>
    <t xml:space="preserve">Absolute PUE value not disclosed</t>
  </si>
  <si>
    <t xml:space="preserve">Improvement in average PUE vs last year</t>
  </si>
  <si>
    <t xml:space="preserve">Efficiency section</t>
  </si>
  <si>
    <t xml:space="preserve">Approx. (~1%)</t>
  </si>
  <si>
    <t xml:space="preserve">Source: Nxtra by Airtel Sustainability Report FY 2025-26 (ESG Factsheet and Planet section). Blue = values taken directly from the report.</t>
  </si>
  <si>
    <t xml:space="preserve">GJ to MWh conversion and renewable share</t>
  </si>
  <si>
    <t xml:space="preserve">Conversion factor (GJ per MWh)</t>
  </si>
  <si>
    <t xml:space="preserve">Standard physical conversion: 1 MWh = 3.6 GJ</t>
  </si>
  <si>
    <t xml:space="preserve">Energy type</t>
  </si>
  <si>
    <t xml:space="preserve">MWh (calc.)</t>
  </si>
  <si>
    <t xml:space="preserve">% of total energy</t>
  </si>
  <si>
    <t xml:space="preserve">Non-renewable total</t>
  </si>
  <si>
    <t xml:space="preserve">Wind</t>
  </si>
  <si>
    <t xml:space="preserve">Solar</t>
  </si>
  <si>
    <t xml:space="preserve">Renewable total</t>
  </si>
  <si>
    <t xml:space="preserve">Check: non-renewable + renewable – total (GJ)</t>
  </si>
  <si>
    <t xml:space="preserve">Scope 2 change vs base year (FY 2022-23)</t>
  </si>
  <si>
    <t xml:space="preserve">Scope 1 change vs base year (FY 2022-23)</t>
  </si>
  <si>
    <t xml:space="preserve">Green = linked from Key Metrics; blue/yellow = assumption. Report gives energy in GJ, so MWh figures are calculated, not reported.</t>
  </si>
  <si>
    <t xml:space="preserve">Bharti Airtel (standalone) - Energy &amp; Emissions, FY 2024-25</t>
  </si>
  <si>
    <t xml:space="preserve">Source: Airtel BRSR FY 2024-25, Principle 6, Essential Indicators 1 &amp; 7 (PDF pp. 212-214). Blue = input from report; black = formula.</t>
  </si>
  <si>
    <t xml:space="preserve">Energy source</t>
  </si>
  <si>
    <t xml:space="preserve">Energy (GJ)</t>
  </si>
  <si>
    <t xml:space="preserve">Share of total</t>
  </si>
  <si>
    <t xml:space="preserve">Grid electricity (non-renewable)</t>
  </si>
  <si>
    <t xml:space="preserve">Fuel (mainly diesel)</t>
  </si>
  <si>
    <t xml:space="preserve">Renewable electricity (solar etc.)</t>
  </si>
  <si>
    <t xml:space="preserve">Report states total 2,696,107 GJ</t>
  </si>
  <si>
    <t xml:space="preserve">Emission scope</t>
  </si>
  <si>
    <t xml:space="preserve">Emissions (tCO2e)</t>
  </si>
  <si>
    <t xml:space="preserve">Scope 1 (diesel/fuel)</t>
  </si>
  <si>
    <t xml:space="preserve">Scope 2 (grid electricity)</t>
  </si>
  <si>
    <t xml:space="preserve">Other useful figures</t>
  </si>
  <si>
    <t xml:space="preserve">Unit / note</t>
  </si>
  <si>
    <t xml:space="preserve">Solar generated at network sites</t>
  </si>
  <si>
    <t xml:space="preserve">kWh</t>
  </si>
  <si>
    <t xml:space="preserve">Diesel saved by hybrid battery banks</t>
  </si>
  <si>
    <t xml:space="preserve">litres</t>
  </si>
  <si>
    <t xml:space="preserve">Network sites tagged green</t>
  </si>
  <si>
    <t xml:space="preserve">fraction of sites</t>
  </si>
  <si>
    <t xml:space="preserve">Nxtra data-centre energy savings</t>
  </si>
  <si>
    <t xml:space="preserve">MWh (FY 2024-25)</t>
  </si>
  <si>
    <t xml:space="preserve">Nxtra emissions avoided</t>
  </si>
  <si>
    <t xml:space="preserve">tCO2e (FY 2024-25)</t>
  </si>
  <si>
    <t xml:space="preserve">Derived emission factors (calculated, not stated in the report)</t>
  </si>
  <si>
    <t xml:space="preserve">Item</t>
  </si>
  <si>
    <t xml:space="preserve">How calculated</t>
  </si>
  <si>
    <t xml:space="preserve">GJ per MWh</t>
  </si>
  <si>
    <t xml:space="preserve">GJ/MWh</t>
  </si>
  <si>
    <t xml:space="preserve">Standard conversion (1 MWh = 3.6 GJ)</t>
  </si>
  <si>
    <t xml:space="preserve">Grid electricity consumed</t>
  </si>
  <si>
    <t xml:space="preserve">Grid GJ / 3.6</t>
  </si>
  <si>
    <t xml:space="preserve">Grid emission factor</t>
  </si>
  <si>
    <t xml:space="preserve">Diesel/fuel emission factor</t>
  </si>
  <si>
    <t xml:space="preserve">tCO2e/GJ</t>
  </si>
  <si>
    <t xml:space="preserve">Scope 1 / fuel GJ (slightly high; Scope 1 may include other gases)</t>
  </si>
  <si>
    <t xml:space="preserve">Solar emission factor (operational)</t>
  </si>
  <si>
    <t xml:space="preserve">Assumption: ~0 operational emissions</t>
  </si>
  <si>
    <t xml:space="preserve">Cross-check: Nxtra implied factor</t>
  </si>
  <si>
    <t xml:space="preserve">Avoided tCO2e / MWh saved; should match grid factor</t>
  </si>
  <si>
    <t xml:space="preserve">Limitation: BRSR data is Airtel-wide (mostly telecom network); Nxtra / per-data-centre figures are not broken out.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</si>
</sst>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.000"/>
    <numFmt numFmtId="168" formatCode="#,##0.000"/>
    <numFmt numFmtId="169" formatCode="0%"/>
    <numFmt numFmtId="170" formatCode="0.000;\-0.000"/>
    <numFmt numFmtId="171" formatCode="#,##0;\(#,##0\);\-"/>
    <numFmt numFmtId="172" formatCode="0.0"/>
    <numFmt numFmtId="173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4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5" t="s">
        <v>9</v>
      </c>
      <c r="D5" s="4"/>
      <c r="E5" s="4" t="s">
        <v>10</v>
      </c>
    </row>
    <row r="6" customFormat="false" ht="15" hidden="false" customHeight="false" outlineLevel="0" collapsed="false">
      <c r="A6" s="4" t="s">
        <v>11</v>
      </c>
      <c r="B6" s="6" t="n">
        <f aca="false">'Airtel BRSR Data'!B8</f>
        <v>2696106</v>
      </c>
      <c r="C6" s="6" t="n">
        <f aca="false">'Nxtra Metrics'!C13</f>
        <v>3306421</v>
      </c>
      <c r="D6" s="4" t="s">
        <v>12</v>
      </c>
      <c r="E6" s="4"/>
    </row>
    <row r="7" customFormat="false" ht="15" hidden="false" customHeight="false" outlineLevel="0" collapsed="false">
      <c r="A7" s="4" t="s">
        <v>13</v>
      </c>
      <c r="B7" s="6" t="n">
        <f aca="false">'Airtel BRSR Data'!B5</f>
        <v>2428228</v>
      </c>
      <c r="C7" s="6" t="n">
        <f aca="false">'Nxtra Metrics'!C11</f>
        <v>2089942</v>
      </c>
      <c r="D7" s="4" t="s">
        <v>12</v>
      </c>
      <c r="E7" s="4"/>
    </row>
    <row r="8" customFormat="false" ht="15" hidden="false" customHeight="false" outlineLevel="0" collapsed="false">
      <c r="A8" s="4" t="s">
        <v>14</v>
      </c>
      <c r="B8" s="6" t="n">
        <f aca="false">'Airtel Emission Factors'!B5</f>
        <v>674507.777777778</v>
      </c>
      <c r="C8" s="6" t="n">
        <f aca="false">'Nxtra Energy Conv'!C7</f>
        <v>580539.444444444</v>
      </c>
      <c r="D8" s="4" t="s">
        <v>15</v>
      </c>
      <c r="E8" s="4" t="s">
        <v>16</v>
      </c>
    </row>
    <row r="9" customFormat="false" ht="15" hidden="false" customHeight="false" outlineLevel="0" collapsed="false">
      <c r="A9" s="4" t="s">
        <v>17</v>
      </c>
      <c r="B9" s="6" t="n">
        <f aca="false">'Airtel BRSR Data'!B7</f>
        <v>21689</v>
      </c>
      <c r="C9" s="6" t="n">
        <f aca="false">'Nxtra Metrics'!C6</f>
        <v>1018049</v>
      </c>
      <c r="D9" s="4" t="s">
        <v>12</v>
      </c>
      <c r="E9" s="4"/>
    </row>
    <row r="10" customFormat="false" ht="15" hidden="false" customHeight="false" outlineLevel="0" collapsed="false">
      <c r="A10" s="4" t="s">
        <v>18</v>
      </c>
      <c r="B10" s="7" t="n">
        <f aca="false">B9/B6</f>
        <v>0.00804456501339339</v>
      </c>
      <c r="C10" s="7" t="n">
        <f aca="false">C9/C6</f>
        <v>0.307900597050406</v>
      </c>
      <c r="D10" s="4" t="s">
        <v>19</v>
      </c>
      <c r="E10" s="4" t="s">
        <v>20</v>
      </c>
    </row>
    <row r="11" customFormat="false" ht="15" hidden="false" customHeight="false" outlineLevel="0" collapsed="false">
      <c r="A11" s="4" t="s">
        <v>21</v>
      </c>
      <c r="B11" s="6" t="n">
        <f aca="false">'Airtel BRSR Data'!B11</f>
        <v>23218</v>
      </c>
      <c r="C11" s="6" t="n">
        <f aca="false">'Nxtra Metrics'!C14</f>
        <v>27546</v>
      </c>
      <c r="D11" s="4" t="s">
        <v>22</v>
      </c>
      <c r="E11" s="4"/>
    </row>
    <row r="12" customFormat="false" ht="15" hidden="false" customHeight="false" outlineLevel="0" collapsed="false">
      <c r="A12" s="4" t="s">
        <v>23</v>
      </c>
      <c r="B12" s="6" t="n">
        <f aca="false">'Airtel BRSR Data'!B12</f>
        <v>490367</v>
      </c>
      <c r="C12" s="6" t="n">
        <f aca="false">'Nxtra Metrics'!C16</f>
        <v>412183</v>
      </c>
      <c r="D12" s="4" t="s">
        <v>22</v>
      </c>
      <c r="E12" s="4"/>
    </row>
    <row r="13" customFormat="false" ht="15" hidden="false" customHeight="false" outlineLevel="0" collapsed="false">
      <c r="A13" s="8" t="s">
        <v>24</v>
      </c>
      <c r="B13" s="9" t="n">
        <f aca="false">B11+B12</f>
        <v>513585</v>
      </c>
      <c r="C13" s="9" t="n">
        <f aca="false">C11+C12</f>
        <v>439729</v>
      </c>
      <c r="D13" s="4" t="s">
        <v>22</v>
      </c>
      <c r="E13" s="4" t="s">
        <v>20</v>
      </c>
    </row>
    <row r="14" customFormat="false" ht="15" hidden="false" customHeight="false" outlineLevel="0" collapsed="false">
      <c r="A14" s="8" t="s">
        <v>25</v>
      </c>
      <c r="B14" s="10" t="n">
        <f aca="false">B12/B8</f>
        <v>0.726999771026444</v>
      </c>
      <c r="C14" s="10" t="n">
        <f aca="false">C12/C8</f>
        <v>0.709999990430357</v>
      </c>
      <c r="D14" s="4" t="s">
        <v>26</v>
      </c>
      <c r="E14" s="4" t="s">
        <v>27</v>
      </c>
    </row>
    <row r="15" customFormat="false" ht="15" hidden="false" customHeight="false" outlineLevel="0" collapsed="false">
      <c r="A15" s="4" t="s">
        <v>28</v>
      </c>
      <c r="B15" s="11" t="n">
        <f aca="false">'CEA Grid EF Trend'!E4</f>
        <v>0.710102303621014</v>
      </c>
      <c r="C15" s="11" t="n">
        <f aca="false">'CEA Grid EF Trend'!F4</f>
        <v>0.675098683144864</v>
      </c>
      <c r="D15" s="4" t="s">
        <v>29</v>
      </c>
      <c r="E15" s="4" t="s">
        <v>30</v>
      </c>
    </row>
    <row r="16" customFormat="false" ht="15" hidden="false" customHeight="false" outlineLevel="0" collapsed="false">
      <c r="A16" s="4" t="s">
        <v>31</v>
      </c>
      <c r="B16" s="7" t="n">
        <f aca="false">B14/B15-1</f>
        <v>0.0237958211362854</v>
      </c>
      <c r="C16" s="7" t="n">
        <f aca="false">C14/C15-1</f>
        <v>0.0516980823054034</v>
      </c>
      <c r="D16" s="4" t="s">
        <v>19</v>
      </c>
      <c r="E16" s="4" t="s">
        <v>32</v>
      </c>
    </row>
    <row r="17" customFormat="false" ht="15" hidden="false" customHeight="false" outlineLevel="0" collapsed="false">
      <c r="A17" s="4" t="s">
        <v>33</v>
      </c>
      <c r="B17" s="11" t="n">
        <f aca="false">'CEA Grid EF Trend'!E7</f>
        <v>0.736444060429315</v>
      </c>
      <c r="C17" s="11" t="n">
        <f aca="false">'CEA Grid EF Trend'!F7</f>
        <v>0.704675263527259</v>
      </c>
      <c r="D17" s="4" t="s">
        <v>29</v>
      </c>
      <c r="E17" s="4"/>
    </row>
    <row r="19" customFormat="false" ht="15" hidden="false" customHeight="false" outlineLevel="0" collapsed="false">
      <c r="A19" s="8" t="s">
        <v>34</v>
      </c>
    </row>
    <row r="20" customFormat="false" ht="15" hidden="false" customHeight="false" outlineLevel="0" collapsed="false">
      <c r="A20" s="4" t="s">
        <v>35</v>
      </c>
      <c r="B20" s="4" t="s">
        <v>36</v>
      </c>
    </row>
    <row r="21" customFormat="false" ht="15" hidden="false" customHeight="false" outlineLevel="0" collapsed="false">
      <c r="A21" s="4" t="s">
        <v>37</v>
      </c>
      <c r="B21" s="4" t="s">
        <v>38</v>
      </c>
    </row>
    <row r="22" customFormat="false" ht="15" hidden="false" customHeight="false" outlineLevel="0" collapsed="false">
      <c r="A22" s="4" t="s">
        <v>39</v>
      </c>
      <c r="B22" s="4" t="s">
        <v>40</v>
      </c>
    </row>
    <row r="23" customFormat="false" ht="15" hidden="false" customHeight="false" outlineLevel="0" collapsed="false">
      <c r="A23" s="4" t="s">
        <v>41</v>
      </c>
      <c r="B23" s="4" t="s">
        <v>42</v>
      </c>
    </row>
    <row r="24" customFormat="false" ht="15" hidden="false" customHeight="false" outlineLevel="0" collapsed="false">
      <c r="A24" s="4" t="s">
        <v>43</v>
      </c>
      <c r="B24" s="4" t="s">
        <v>44</v>
      </c>
    </row>
    <row r="25" customFormat="false" ht="15" hidden="false" customHeight="false" outlineLevel="0" collapsed="false">
      <c r="A25" s="4" t="s">
        <v>45</v>
      </c>
      <c r="B25" s="4" t="s">
        <v>46</v>
      </c>
    </row>
    <row r="27" customFormat="false" ht="15" hidden="false" customHeight="false" outlineLevel="0" collapsed="false">
      <c r="A27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5" hidden="false" customHeight="true" outlineLevel="0" collapsed="false">
      <c r="A1" s="12" t="s">
        <v>48</v>
      </c>
    </row>
    <row r="2" customFormat="false" ht="15" hidden="false" customHeight="true" outlineLevel="0" collapsed="false">
      <c r="A2" s="13" t="s">
        <v>49</v>
      </c>
    </row>
    <row r="4" customFormat="false" ht="15" hidden="false" customHeight="true" outlineLevel="0" collapsed="false">
      <c r="A4" s="14" t="s">
        <v>50</v>
      </c>
      <c r="B4" s="14" t="s">
        <v>51</v>
      </c>
      <c r="C4" s="14" t="s">
        <v>5</v>
      </c>
    </row>
    <row r="5" customFormat="false" ht="15" hidden="false" customHeight="true" outlineLevel="0" collapsed="false">
      <c r="A5" s="13" t="s">
        <v>52</v>
      </c>
      <c r="B5" s="15" t="n">
        <v>1189.03811193721</v>
      </c>
      <c r="C5" s="13" t="s">
        <v>53</v>
      </c>
    </row>
    <row r="6" customFormat="false" ht="15" hidden="false" customHeight="true" outlineLevel="0" collapsed="false">
      <c r="A6" s="13" t="s">
        <v>54</v>
      </c>
      <c r="B6" s="15" t="n">
        <v>1761.28044924961</v>
      </c>
      <c r="C6" s="13" t="s">
        <v>55</v>
      </c>
    </row>
    <row r="7" customFormat="false" ht="15" hidden="false" customHeight="true" outlineLevel="0" collapsed="false">
      <c r="A7" s="13" t="s">
        <v>56</v>
      </c>
      <c r="B7" s="16" t="n">
        <v>0.963418324536046</v>
      </c>
      <c r="C7" s="13" t="s">
        <v>29</v>
      </c>
    </row>
    <row r="8" customFormat="false" ht="15" hidden="false" customHeight="true" outlineLevel="0" collapsed="false">
      <c r="A8" s="13" t="s">
        <v>57</v>
      </c>
      <c r="B8" s="16" t="n">
        <v>0.445932202518472</v>
      </c>
      <c r="C8" s="13" t="s">
        <v>29</v>
      </c>
    </row>
    <row r="9" customFormat="false" ht="15" hidden="false" customHeight="true" outlineLevel="0" collapsed="false">
      <c r="A9" s="13" t="s">
        <v>58</v>
      </c>
      <c r="B9" s="17" t="n">
        <v>0.5</v>
      </c>
      <c r="C9" s="13" t="s">
        <v>59</v>
      </c>
    </row>
    <row r="11" customFormat="false" ht="15" hidden="false" customHeight="true" outlineLevel="0" collapsed="false">
      <c r="A11" s="14" t="s">
        <v>60</v>
      </c>
      <c r="B11" s="14" t="s">
        <v>51</v>
      </c>
      <c r="C11" s="14" t="s">
        <v>5</v>
      </c>
    </row>
    <row r="12" customFormat="false" ht="15" hidden="false" customHeight="true" outlineLevel="0" collapsed="false">
      <c r="A12" s="13" t="s">
        <v>61</v>
      </c>
      <c r="B12" s="18" t="n">
        <f aca="false">B5/B6</f>
        <v>0.675098683144866</v>
      </c>
      <c r="C12" s="13" t="s">
        <v>29</v>
      </c>
    </row>
    <row r="13" customFormat="false" ht="15" hidden="false" customHeight="true" outlineLevel="0" collapsed="false">
      <c r="A13" s="13" t="s">
        <v>62</v>
      </c>
      <c r="B13" s="19" t="n">
        <f aca="false">B9*B7+(1-B9)*B8</f>
        <v>0.704675263527259</v>
      </c>
      <c r="C13" s="13" t="s">
        <v>29</v>
      </c>
    </row>
    <row r="15" customFormat="false" ht="15" hidden="false" customHeight="true" outlineLevel="0" collapsed="false">
      <c r="A15" s="20" t="s">
        <v>63</v>
      </c>
    </row>
    <row r="16" customFormat="false" ht="15" hidden="false" customHeight="true" outlineLevel="0" collapsed="false">
      <c r="A16" s="13" t="s">
        <v>64</v>
      </c>
      <c r="B16" s="16" t="n">
        <v>0.675098683144864</v>
      </c>
      <c r="C16" s="13" t="s">
        <v>29</v>
      </c>
    </row>
    <row r="17" customFormat="false" ht="15" hidden="false" customHeight="true" outlineLevel="0" collapsed="false">
      <c r="A17" s="13" t="s">
        <v>65</v>
      </c>
      <c r="B17" s="16" t="n">
        <v>0.963418324536046</v>
      </c>
      <c r="C17" s="13" t="s">
        <v>29</v>
      </c>
    </row>
    <row r="18" customFormat="false" ht="15" hidden="false" customHeight="true" outlineLevel="0" collapsed="false">
      <c r="A18" s="13" t="s">
        <v>66</v>
      </c>
      <c r="B18" s="16" t="n">
        <v>0.445932202518472</v>
      </c>
      <c r="C18" s="13" t="s">
        <v>29</v>
      </c>
    </row>
    <row r="19" customFormat="false" ht="15" hidden="false" customHeight="true" outlineLevel="0" collapsed="false">
      <c r="A19" s="13" t="s">
        <v>67</v>
      </c>
      <c r="B19" s="16" t="n">
        <v>0.704675263527259</v>
      </c>
      <c r="C19" s="13" t="s">
        <v>29</v>
      </c>
    </row>
    <row r="21" customFormat="false" ht="15" hidden="false" customHeight="true" outlineLevel="0" collapsed="false">
      <c r="A21" s="13" t="s">
        <v>68</v>
      </c>
    </row>
    <row r="22" customFormat="false" ht="15" hidden="false" customHeight="true" outlineLevel="0" collapsed="false">
      <c r="A22" s="1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1"/>
  </cols>
  <sheetData>
    <row r="1" customFormat="false" ht="15" hidden="false" customHeight="true" outlineLevel="0" collapsed="false">
      <c r="A1" s="12" t="s">
        <v>70</v>
      </c>
    </row>
    <row r="3" customFormat="false" ht="15" hidden="false" customHeight="true" outlineLevel="0" collapsed="false">
      <c r="A3" s="14" t="s">
        <v>71</v>
      </c>
      <c r="B3" s="14" t="s">
        <v>72</v>
      </c>
      <c r="C3" s="14" t="s">
        <v>73</v>
      </c>
      <c r="D3" s="14" t="s">
        <v>74</v>
      </c>
      <c r="E3" s="14" t="s">
        <v>75</v>
      </c>
      <c r="F3" s="14" t="s">
        <v>76</v>
      </c>
    </row>
    <row r="4" customFormat="false" ht="15" hidden="false" customHeight="true" outlineLevel="0" collapsed="false">
      <c r="A4" s="13" t="s">
        <v>77</v>
      </c>
      <c r="B4" s="16" t="n">
        <v>0.711350028590336</v>
      </c>
      <c r="C4" s="16" t="n">
        <v>0.716003159394154</v>
      </c>
      <c r="D4" s="16" t="n">
        <v>0.727159904109654</v>
      </c>
      <c r="E4" s="16" t="n">
        <v>0.710102303621014</v>
      </c>
      <c r="F4" s="16" t="n">
        <v>0.675098683144864</v>
      </c>
    </row>
    <row r="5" customFormat="false" ht="15" hidden="false" customHeight="true" outlineLevel="0" collapsed="false">
      <c r="A5" s="13" t="s">
        <v>65</v>
      </c>
      <c r="B5" s="16" t="n">
        <v>0.960456189186116</v>
      </c>
      <c r="C5" s="16" t="n">
        <v>0.971124858409088</v>
      </c>
      <c r="D5" s="16" t="n">
        <v>0.961134310431034</v>
      </c>
      <c r="E5" s="16" t="n">
        <v>0.960970321601464</v>
      </c>
      <c r="F5" s="16" t="n">
        <v>0.963418324536046</v>
      </c>
    </row>
    <row r="6" customFormat="false" ht="15" hidden="false" customHeight="true" outlineLevel="0" collapsed="false">
      <c r="A6" s="13" t="s">
        <v>66</v>
      </c>
      <c r="B6" s="16" t="n">
        <v>0.868669986494676</v>
      </c>
      <c r="C6" s="16" t="n">
        <v>0.866742946112992</v>
      </c>
      <c r="D6" s="16" t="n">
        <v>0.552151816502361</v>
      </c>
      <c r="E6" s="16" t="n">
        <v>0.511917799257166</v>
      </c>
      <c r="F6" s="16" t="n">
        <v>0.445932202518472</v>
      </c>
    </row>
    <row r="7" customFormat="false" ht="15" hidden="false" customHeight="true" outlineLevel="0" collapsed="false">
      <c r="A7" s="13" t="s">
        <v>67</v>
      </c>
      <c r="B7" s="16" t="n">
        <v>0.914563087840396</v>
      </c>
      <c r="C7" s="16" t="n">
        <v>0.91893390226104</v>
      </c>
      <c r="D7" s="16" t="n">
        <v>0.756643063466698</v>
      </c>
      <c r="E7" s="16" t="n">
        <v>0.736444060429315</v>
      </c>
      <c r="F7" s="16" t="n">
        <v>0.704675263527259</v>
      </c>
    </row>
    <row r="9" customFormat="false" ht="15" hidden="false" customHeight="true" outlineLevel="0" collapsed="false">
      <c r="A9" s="13" t="s">
        <v>78</v>
      </c>
      <c r="B9" s="21" t="n">
        <f aca="false">F4-E4</f>
        <v>-0.03500362047615</v>
      </c>
    </row>
    <row r="10" customFormat="false" ht="15" hidden="false" customHeight="true" outlineLevel="0" collapsed="false">
      <c r="A10" s="13" t="s">
        <v>79</v>
      </c>
      <c r="B10" s="21" t="n">
        <f aca="false">F4-B4</f>
        <v>-0.036251345445472</v>
      </c>
    </row>
    <row r="12" customFormat="false" ht="15" hidden="false" customHeight="true" outlineLevel="0" collapsed="false">
      <c r="A12" s="13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34"/>
    <col collapsed="false" customWidth="true" hidden="false" outlineLevel="0" max="6" min="6" style="0" width="52"/>
  </cols>
  <sheetData>
    <row r="1" customFormat="false" ht="15.75" hidden="false" customHeight="true" outlineLevel="0" collapsed="false">
      <c r="A1" s="22" t="s">
        <v>81</v>
      </c>
    </row>
    <row r="3" customFormat="false" ht="15" hidden="false" customHeight="true" outlineLevel="0" collapsed="false">
      <c r="A3" s="23" t="s">
        <v>82</v>
      </c>
      <c r="B3" s="23" t="s">
        <v>2</v>
      </c>
      <c r="C3" s="23" t="s">
        <v>51</v>
      </c>
      <c r="D3" s="23" t="s">
        <v>5</v>
      </c>
      <c r="E3" s="23" t="s">
        <v>83</v>
      </c>
      <c r="F3" s="23" t="s">
        <v>6</v>
      </c>
    </row>
    <row r="4" customFormat="false" ht="15" hidden="false" customHeight="true" outlineLevel="0" collapsed="false">
      <c r="A4" s="24" t="s">
        <v>15</v>
      </c>
      <c r="B4" s="24" t="s">
        <v>84</v>
      </c>
      <c r="C4" s="25" t="n">
        <v>686525</v>
      </c>
      <c r="D4" s="24" t="s">
        <v>15</v>
      </c>
      <c r="E4" s="24" t="s">
        <v>85</v>
      </c>
      <c r="F4" s="24" t="s">
        <v>86</v>
      </c>
    </row>
    <row r="5" customFormat="false" ht="15" hidden="false" customHeight="true" outlineLevel="0" collapsed="false">
      <c r="A5" s="24" t="s">
        <v>15</v>
      </c>
      <c r="B5" s="24" t="s">
        <v>87</v>
      </c>
      <c r="C5" s="25" t="n">
        <v>6623</v>
      </c>
      <c r="D5" s="24" t="s">
        <v>15</v>
      </c>
      <c r="E5" s="24" t="s">
        <v>88</v>
      </c>
      <c r="F5" s="24" t="s">
        <v>89</v>
      </c>
    </row>
    <row r="6" customFormat="false" ht="15" hidden="false" customHeight="true" outlineLevel="0" collapsed="false">
      <c r="A6" s="24" t="s">
        <v>90</v>
      </c>
      <c r="B6" s="24" t="s">
        <v>91</v>
      </c>
      <c r="C6" s="25" t="n">
        <v>1018049</v>
      </c>
      <c r="D6" s="24" t="s">
        <v>12</v>
      </c>
      <c r="E6" s="24" t="s">
        <v>92</v>
      </c>
      <c r="F6" s="24"/>
    </row>
    <row r="7" customFormat="false" ht="15" hidden="false" customHeight="true" outlineLevel="0" collapsed="false">
      <c r="A7" s="24" t="s">
        <v>90</v>
      </c>
      <c r="B7" s="24" t="s">
        <v>93</v>
      </c>
      <c r="C7" s="25" t="n">
        <v>155744</v>
      </c>
      <c r="D7" s="24" t="s">
        <v>12</v>
      </c>
      <c r="E7" s="24" t="s">
        <v>92</v>
      </c>
      <c r="F7" s="24"/>
    </row>
    <row r="8" customFormat="false" ht="15" hidden="false" customHeight="true" outlineLevel="0" collapsed="false">
      <c r="A8" s="24" t="s">
        <v>90</v>
      </c>
      <c r="B8" s="24" t="s">
        <v>94</v>
      </c>
      <c r="C8" s="25" t="n">
        <v>862305</v>
      </c>
      <c r="D8" s="24" t="s">
        <v>12</v>
      </c>
      <c r="E8" s="24" t="s">
        <v>92</v>
      </c>
      <c r="F8" s="24"/>
    </row>
    <row r="9" customFormat="false" ht="15" hidden="false" customHeight="true" outlineLevel="0" collapsed="false">
      <c r="A9" s="24" t="s">
        <v>90</v>
      </c>
      <c r="B9" s="24" t="s">
        <v>95</v>
      </c>
      <c r="C9" s="26" t="n">
        <v>0.52</v>
      </c>
      <c r="D9" s="24" t="s">
        <v>19</v>
      </c>
      <c r="E9" s="24" t="s">
        <v>96</v>
      </c>
      <c r="F9" s="24" t="s">
        <v>97</v>
      </c>
    </row>
    <row r="10" customFormat="false" ht="15" hidden="false" customHeight="true" outlineLevel="0" collapsed="false">
      <c r="A10" s="24" t="s">
        <v>98</v>
      </c>
      <c r="B10" s="24" t="s">
        <v>99</v>
      </c>
      <c r="C10" s="25" t="n">
        <v>198430</v>
      </c>
      <c r="D10" s="24" t="s">
        <v>12</v>
      </c>
      <c r="E10" s="24" t="s">
        <v>92</v>
      </c>
      <c r="F10" s="24" t="s">
        <v>100</v>
      </c>
    </row>
    <row r="11" customFormat="false" ht="15" hidden="false" customHeight="true" outlineLevel="0" collapsed="false">
      <c r="A11" s="24" t="s">
        <v>101</v>
      </c>
      <c r="B11" s="24" t="s">
        <v>102</v>
      </c>
      <c r="C11" s="25" t="n">
        <v>2089942</v>
      </c>
      <c r="D11" s="24" t="s">
        <v>12</v>
      </c>
      <c r="E11" s="24" t="s">
        <v>92</v>
      </c>
      <c r="F11" s="24"/>
    </row>
    <row r="12" customFormat="false" ht="15" hidden="false" customHeight="true" outlineLevel="0" collapsed="false">
      <c r="A12" s="24" t="s">
        <v>101</v>
      </c>
      <c r="B12" s="24" t="s">
        <v>103</v>
      </c>
      <c r="C12" s="25" t="n">
        <v>2288372</v>
      </c>
      <c r="D12" s="24" t="s">
        <v>12</v>
      </c>
      <c r="E12" s="24" t="s">
        <v>92</v>
      </c>
      <c r="F12" s="24"/>
    </row>
    <row r="13" customFormat="false" ht="15" hidden="false" customHeight="true" outlineLevel="0" collapsed="false">
      <c r="A13" s="24" t="s">
        <v>104</v>
      </c>
      <c r="B13" s="24" t="s">
        <v>105</v>
      </c>
      <c r="C13" s="25" t="n">
        <v>3306421</v>
      </c>
      <c r="D13" s="24" t="s">
        <v>12</v>
      </c>
      <c r="E13" s="24" t="s">
        <v>92</v>
      </c>
      <c r="F13" s="24"/>
    </row>
    <row r="14" customFormat="false" ht="15" hidden="false" customHeight="true" outlineLevel="0" collapsed="false">
      <c r="A14" s="24" t="s">
        <v>106</v>
      </c>
      <c r="B14" s="24" t="s">
        <v>107</v>
      </c>
      <c r="C14" s="25" t="n">
        <v>27546</v>
      </c>
      <c r="D14" s="24" t="s">
        <v>108</v>
      </c>
      <c r="E14" s="24" t="s">
        <v>109</v>
      </c>
      <c r="F14" s="24" t="s">
        <v>110</v>
      </c>
    </row>
    <row r="15" customFormat="false" ht="15" hidden="false" customHeight="true" outlineLevel="0" collapsed="false">
      <c r="A15" s="24" t="s">
        <v>106</v>
      </c>
      <c r="B15" s="24" t="s">
        <v>111</v>
      </c>
      <c r="C15" s="25" t="n">
        <v>26008</v>
      </c>
      <c r="D15" s="24" t="s">
        <v>108</v>
      </c>
      <c r="E15" s="24" t="s">
        <v>109</v>
      </c>
      <c r="F15" s="24"/>
    </row>
    <row r="16" customFormat="false" ht="15" hidden="false" customHeight="true" outlineLevel="0" collapsed="false">
      <c r="A16" s="24" t="s">
        <v>112</v>
      </c>
      <c r="B16" s="24" t="s">
        <v>113</v>
      </c>
      <c r="C16" s="25" t="n">
        <v>412183</v>
      </c>
      <c r="D16" s="24" t="s">
        <v>108</v>
      </c>
      <c r="E16" s="24" t="s">
        <v>114</v>
      </c>
      <c r="F16" s="24" t="s">
        <v>115</v>
      </c>
    </row>
    <row r="17" customFormat="false" ht="15" hidden="false" customHeight="true" outlineLevel="0" collapsed="false">
      <c r="A17" s="24" t="s">
        <v>112</v>
      </c>
      <c r="B17" s="24" t="s">
        <v>111</v>
      </c>
      <c r="C17" s="25" t="n">
        <v>360020</v>
      </c>
      <c r="D17" s="24" t="s">
        <v>108</v>
      </c>
      <c r="E17" s="24" t="s">
        <v>114</v>
      </c>
      <c r="F17" s="24"/>
    </row>
    <row r="18" customFormat="false" ht="15" hidden="false" customHeight="true" outlineLevel="0" collapsed="false">
      <c r="A18" s="24" t="s">
        <v>112</v>
      </c>
      <c r="B18" s="24" t="s">
        <v>116</v>
      </c>
      <c r="C18" s="25" t="n">
        <v>213694</v>
      </c>
      <c r="D18" s="24" t="s">
        <v>108</v>
      </c>
      <c r="E18" s="24" t="s">
        <v>117</v>
      </c>
      <c r="F18" s="24"/>
    </row>
    <row r="19" customFormat="false" ht="15" hidden="false" customHeight="true" outlineLevel="0" collapsed="false">
      <c r="A19" s="24" t="s">
        <v>118</v>
      </c>
      <c r="B19" s="24" t="s">
        <v>119</v>
      </c>
      <c r="C19" s="25" t="n">
        <v>4702</v>
      </c>
      <c r="D19" s="24" t="s">
        <v>108</v>
      </c>
      <c r="E19" s="24" t="s">
        <v>117</v>
      </c>
      <c r="F19" s="24"/>
    </row>
    <row r="20" customFormat="false" ht="15" hidden="false" customHeight="true" outlineLevel="0" collapsed="false">
      <c r="A20" s="24" t="s">
        <v>118</v>
      </c>
      <c r="B20" s="24" t="s">
        <v>120</v>
      </c>
      <c r="C20" s="26" t="n">
        <v>0.11</v>
      </c>
      <c r="D20" s="24" t="s">
        <v>19</v>
      </c>
      <c r="E20" s="24" t="s">
        <v>96</v>
      </c>
      <c r="F20" s="24" t="s">
        <v>121</v>
      </c>
    </row>
    <row r="21" customFormat="false" ht="15" hidden="false" customHeight="true" outlineLevel="0" collapsed="false">
      <c r="A21" s="24" t="s">
        <v>118</v>
      </c>
      <c r="B21" s="24" t="s">
        <v>122</v>
      </c>
      <c r="C21" s="26" t="n">
        <v>0.01</v>
      </c>
      <c r="D21" s="24" t="s">
        <v>19</v>
      </c>
      <c r="E21" s="24" t="s">
        <v>123</v>
      </c>
      <c r="F21" s="24" t="s">
        <v>124</v>
      </c>
    </row>
    <row r="23" customFormat="false" ht="15" hidden="false" customHeight="true" outlineLevel="0" collapsed="false">
      <c r="A23" s="27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4" min="4" style="0" width="18"/>
  </cols>
  <sheetData>
    <row r="1" customFormat="false" ht="15.75" hidden="false" customHeight="true" outlineLevel="0" collapsed="false">
      <c r="A1" s="22" t="s">
        <v>126</v>
      </c>
    </row>
    <row r="3" customFormat="false" ht="15" hidden="false" customHeight="true" outlineLevel="0" collapsed="false">
      <c r="A3" s="13" t="s">
        <v>127</v>
      </c>
      <c r="B3" s="28" t="n">
        <v>3.6</v>
      </c>
      <c r="C3" s="27" t="s">
        <v>128</v>
      </c>
    </row>
    <row r="5" customFormat="false" ht="15" hidden="false" customHeight="true" outlineLevel="0" collapsed="false">
      <c r="A5" s="23" t="s">
        <v>129</v>
      </c>
      <c r="B5" s="23" t="s">
        <v>12</v>
      </c>
      <c r="C5" s="23" t="s">
        <v>130</v>
      </c>
      <c r="D5" s="23" t="s">
        <v>131</v>
      </c>
    </row>
    <row r="6" customFormat="false" ht="15" hidden="false" customHeight="true" outlineLevel="0" collapsed="false">
      <c r="A6" s="24" t="s">
        <v>98</v>
      </c>
      <c r="B6" s="29" t="n">
        <f aca="false">'Nxtra Metrics'!C10</f>
        <v>198430</v>
      </c>
      <c r="C6" s="30" t="n">
        <f aca="false">B6/$B$3</f>
        <v>55119.4444444444</v>
      </c>
      <c r="D6" s="31" t="n">
        <f aca="false">B6/$B$12</f>
        <v>0.0600135312472308</v>
      </c>
    </row>
    <row r="7" customFormat="false" ht="15" hidden="false" customHeight="true" outlineLevel="0" collapsed="false">
      <c r="A7" s="24" t="s">
        <v>13</v>
      </c>
      <c r="B7" s="29" t="n">
        <f aca="false">'Nxtra Metrics'!C11</f>
        <v>2089942</v>
      </c>
      <c r="C7" s="30" t="n">
        <f aca="false">B7/$B$3</f>
        <v>580539.444444444</v>
      </c>
      <c r="D7" s="31" t="n">
        <f aca="false">B7/$B$12</f>
        <v>0.632085871702363</v>
      </c>
    </row>
    <row r="8" customFormat="false" ht="15" hidden="false" customHeight="true" outlineLevel="0" collapsed="false">
      <c r="A8" s="32" t="s">
        <v>132</v>
      </c>
      <c r="B8" s="29" t="n">
        <f aca="false">'Nxtra Metrics'!C12</f>
        <v>2288372</v>
      </c>
      <c r="C8" s="30" t="n">
        <f aca="false">B8/$B$3</f>
        <v>635658.888888889</v>
      </c>
      <c r="D8" s="31" t="n">
        <f aca="false">B8/$B$12</f>
        <v>0.692099402949594</v>
      </c>
    </row>
    <row r="9" customFormat="false" ht="15" hidden="false" customHeight="true" outlineLevel="0" collapsed="false">
      <c r="A9" s="24" t="s">
        <v>133</v>
      </c>
      <c r="B9" s="29" t="n">
        <f aca="false">'Nxtra Metrics'!C7</f>
        <v>155744</v>
      </c>
      <c r="C9" s="30" t="n">
        <f aca="false">B9/$B$3</f>
        <v>43262.2222222222</v>
      </c>
      <c r="D9" s="31" t="n">
        <f aca="false">B9/$B$12</f>
        <v>0.0471034995241078</v>
      </c>
    </row>
    <row r="10" customFormat="false" ht="15" hidden="false" customHeight="true" outlineLevel="0" collapsed="false">
      <c r="A10" s="24" t="s">
        <v>134</v>
      </c>
      <c r="B10" s="29" t="n">
        <f aca="false">'Nxtra Metrics'!C8</f>
        <v>862305</v>
      </c>
      <c r="C10" s="30" t="n">
        <f aca="false">B10/$B$3</f>
        <v>239529.166666667</v>
      </c>
      <c r="D10" s="31" t="n">
        <f aca="false">B10/$B$12</f>
        <v>0.260797097526298</v>
      </c>
    </row>
    <row r="11" customFormat="false" ht="15" hidden="false" customHeight="true" outlineLevel="0" collapsed="false">
      <c r="A11" s="32" t="s">
        <v>135</v>
      </c>
      <c r="B11" s="29" t="n">
        <f aca="false">'Nxtra Metrics'!C6</f>
        <v>1018049</v>
      </c>
      <c r="C11" s="30" t="n">
        <f aca="false">B11/$B$3</f>
        <v>282791.388888889</v>
      </c>
      <c r="D11" s="31" t="n">
        <f aca="false">B11/$B$12</f>
        <v>0.307900597050406</v>
      </c>
    </row>
    <row r="12" customFormat="false" ht="15" hidden="false" customHeight="true" outlineLevel="0" collapsed="false">
      <c r="A12" s="32" t="s">
        <v>11</v>
      </c>
      <c r="B12" s="29" t="n">
        <f aca="false">'Nxtra Metrics'!C13</f>
        <v>3306421</v>
      </c>
      <c r="C12" s="30" t="n">
        <f aca="false">B12/$B$3</f>
        <v>918450.277777778</v>
      </c>
      <c r="D12" s="31" t="n">
        <f aca="false">B12/$B$12</f>
        <v>1</v>
      </c>
    </row>
    <row r="14" customFormat="false" ht="15" hidden="false" customHeight="true" outlineLevel="0" collapsed="false">
      <c r="A14" s="13" t="s">
        <v>136</v>
      </c>
      <c r="B14" s="33" t="n">
        <f aca="false">B8+B11-B12</f>
        <v>0</v>
      </c>
    </row>
    <row r="15" customFormat="false" ht="15" hidden="false" customHeight="true" outlineLevel="0" collapsed="false">
      <c r="A15" s="13" t="s">
        <v>137</v>
      </c>
      <c r="B15" s="34" t="n">
        <f aca="false">'Nxtra Metrics'!C16/'Nxtra Metrics'!C17-1</f>
        <v>0.144889172823732</v>
      </c>
    </row>
    <row r="16" customFormat="false" ht="15" hidden="false" customHeight="true" outlineLevel="0" collapsed="false">
      <c r="A16" s="13" t="s">
        <v>138</v>
      </c>
      <c r="B16" s="34" t="n">
        <f aca="false">'Nxtra Metrics'!C14/'Nxtra Metrics'!C15-1</f>
        <v>0.0591356505690557</v>
      </c>
    </row>
    <row r="18" customFormat="false" ht="15" hidden="false" customHeight="true" outlineLevel="0" collapsed="false">
      <c r="A18" s="27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34"/>
  </cols>
  <sheetData>
    <row r="1" customFormat="false" ht="15.75" hidden="false" customHeight="true" outlineLevel="0" collapsed="false">
      <c r="A1" s="22" t="s">
        <v>140</v>
      </c>
    </row>
    <row r="2" customFormat="false" ht="15" hidden="false" customHeight="true" outlineLevel="0" collapsed="false">
      <c r="A2" s="35" t="s">
        <v>141</v>
      </c>
    </row>
    <row r="4" customFormat="false" ht="15" hidden="false" customHeight="true" outlineLevel="0" collapsed="false">
      <c r="A4" s="36" t="s">
        <v>142</v>
      </c>
      <c r="B4" s="36" t="s">
        <v>143</v>
      </c>
      <c r="C4" s="36" t="s">
        <v>144</v>
      </c>
    </row>
    <row r="5" customFormat="false" ht="15" hidden="false" customHeight="true" outlineLevel="0" collapsed="false">
      <c r="A5" s="13" t="s">
        <v>145</v>
      </c>
      <c r="B5" s="37" t="n">
        <v>2428228</v>
      </c>
      <c r="C5" s="34" t="n">
        <f aca="false">B5/$B$8</f>
        <v>0.90064263051972</v>
      </c>
    </row>
    <row r="6" customFormat="false" ht="15" hidden="false" customHeight="true" outlineLevel="0" collapsed="false">
      <c r="A6" s="13" t="s">
        <v>146</v>
      </c>
      <c r="B6" s="37" t="n">
        <v>246189</v>
      </c>
      <c r="C6" s="34" t="n">
        <f aca="false">B6/$B$8</f>
        <v>0.0913128044668867</v>
      </c>
    </row>
    <row r="7" customFormat="false" ht="15" hidden="false" customHeight="true" outlineLevel="0" collapsed="false">
      <c r="A7" s="13" t="s">
        <v>147</v>
      </c>
      <c r="B7" s="37" t="n">
        <v>21689</v>
      </c>
      <c r="C7" s="34" t="n">
        <f aca="false">B7/$B$8</f>
        <v>0.00804456501339339</v>
      </c>
    </row>
    <row r="8" customFormat="false" ht="15" hidden="false" customHeight="true" outlineLevel="0" collapsed="false">
      <c r="A8" s="20" t="s">
        <v>11</v>
      </c>
      <c r="B8" s="38" t="n">
        <f aca="false">SUM(B5:B7)</f>
        <v>2696106</v>
      </c>
      <c r="C8" s="39" t="n">
        <f aca="false">SUM(C5:C7)</f>
        <v>1</v>
      </c>
      <c r="D8" s="35" t="s">
        <v>148</v>
      </c>
    </row>
    <row r="10" customFormat="false" ht="15" hidden="false" customHeight="true" outlineLevel="0" collapsed="false">
      <c r="A10" s="36" t="s">
        <v>149</v>
      </c>
      <c r="B10" s="36" t="s">
        <v>150</v>
      </c>
      <c r="C10" s="36" t="s">
        <v>144</v>
      </c>
    </row>
    <row r="11" customFormat="false" ht="15" hidden="false" customHeight="true" outlineLevel="0" collapsed="false">
      <c r="A11" s="13" t="s">
        <v>151</v>
      </c>
      <c r="B11" s="37" t="n">
        <v>23218</v>
      </c>
      <c r="C11" s="34" t="n">
        <f aca="false">B11/$B$13</f>
        <v>0.0452077066113691</v>
      </c>
    </row>
    <row r="12" customFormat="false" ht="15" hidden="false" customHeight="true" outlineLevel="0" collapsed="false">
      <c r="A12" s="13" t="s">
        <v>152</v>
      </c>
      <c r="B12" s="37" t="n">
        <v>490367</v>
      </c>
      <c r="C12" s="34" t="n">
        <f aca="false">B12/$B$13</f>
        <v>0.954792293388631</v>
      </c>
    </row>
    <row r="13" customFormat="false" ht="15" hidden="false" customHeight="true" outlineLevel="0" collapsed="false">
      <c r="A13" s="20" t="s">
        <v>24</v>
      </c>
      <c r="B13" s="38" t="n">
        <f aca="false">SUM(B11:B12)</f>
        <v>513585</v>
      </c>
      <c r="C13" s="39" t="n">
        <f aca="false">SUM(C11:C12)</f>
        <v>1</v>
      </c>
    </row>
    <row r="15" customFormat="false" ht="15" hidden="false" customHeight="true" outlineLevel="0" collapsed="false">
      <c r="A15" s="36" t="s">
        <v>153</v>
      </c>
      <c r="B15" s="36" t="s">
        <v>51</v>
      </c>
      <c r="C15" s="36" t="s">
        <v>154</v>
      </c>
    </row>
    <row r="16" customFormat="false" ht="15" hidden="false" customHeight="true" outlineLevel="0" collapsed="false">
      <c r="A16" s="13" t="s">
        <v>155</v>
      </c>
      <c r="B16" s="37" t="n">
        <v>5714928</v>
      </c>
      <c r="C16" s="13" t="s">
        <v>156</v>
      </c>
    </row>
    <row r="17" customFormat="false" ht="15" hidden="false" customHeight="true" outlineLevel="0" collapsed="false">
      <c r="A17" s="13" t="s">
        <v>157</v>
      </c>
      <c r="B17" s="37" t="n">
        <v>14915</v>
      </c>
      <c r="C17" s="13" t="s">
        <v>158</v>
      </c>
    </row>
    <row r="18" customFormat="false" ht="15" hidden="false" customHeight="true" outlineLevel="0" collapsed="false">
      <c r="A18" s="13" t="s">
        <v>159</v>
      </c>
      <c r="B18" s="17" t="n">
        <v>0.65</v>
      </c>
      <c r="C18" s="13" t="s">
        <v>160</v>
      </c>
    </row>
    <row r="19" customFormat="false" ht="15" hidden="false" customHeight="true" outlineLevel="0" collapsed="false">
      <c r="A19" s="13" t="s">
        <v>161</v>
      </c>
      <c r="B19" s="37" t="n">
        <v>12420</v>
      </c>
      <c r="C19" s="13" t="s">
        <v>162</v>
      </c>
    </row>
    <row r="20" customFormat="false" ht="15" hidden="false" customHeight="true" outlineLevel="0" collapsed="false">
      <c r="A20" s="13" t="s">
        <v>163</v>
      </c>
      <c r="B20" s="37" t="n">
        <v>9030</v>
      </c>
      <c r="C20" s="13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2"/>
  </cols>
  <sheetData>
    <row r="1" customFormat="false" ht="15.75" hidden="false" customHeight="true" outlineLevel="0" collapsed="false">
      <c r="A1" s="22" t="s">
        <v>165</v>
      </c>
    </row>
    <row r="3" customFormat="false" ht="15" hidden="false" customHeight="true" outlineLevel="0" collapsed="false">
      <c r="A3" s="36" t="s">
        <v>166</v>
      </c>
      <c r="B3" s="36" t="s">
        <v>51</v>
      </c>
      <c r="C3" s="36" t="s">
        <v>5</v>
      </c>
      <c r="D3" s="36" t="s">
        <v>167</v>
      </c>
    </row>
    <row r="4" customFormat="false" ht="15" hidden="false" customHeight="true" outlineLevel="0" collapsed="false">
      <c r="A4" s="13" t="s">
        <v>168</v>
      </c>
      <c r="B4" s="40" t="n">
        <v>3.6</v>
      </c>
      <c r="C4" s="13" t="s">
        <v>169</v>
      </c>
      <c r="D4" s="13" t="s">
        <v>170</v>
      </c>
    </row>
    <row r="5" customFormat="false" ht="15" hidden="false" customHeight="true" outlineLevel="0" collapsed="false">
      <c r="A5" s="13" t="s">
        <v>171</v>
      </c>
      <c r="B5" s="41" t="n">
        <f aca="false">'Airtel BRSR Data'!B5/B4</f>
        <v>674507.777777778</v>
      </c>
      <c r="C5" s="13" t="s">
        <v>15</v>
      </c>
      <c r="D5" s="13" t="s">
        <v>172</v>
      </c>
    </row>
    <row r="6" customFormat="false" ht="15" hidden="false" customHeight="true" outlineLevel="0" collapsed="false">
      <c r="A6" s="13" t="s">
        <v>173</v>
      </c>
      <c r="B6" s="42" t="n">
        <f aca="false">'Airtel BRSR Data'!B12/B5</f>
        <v>0.726999771026444</v>
      </c>
      <c r="C6" s="13" t="s">
        <v>26</v>
      </c>
      <c r="D6" s="13" t="s">
        <v>27</v>
      </c>
    </row>
    <row r="7" customFormat="false" ht="15" hidden="false" customHeight="true" outlineLevel="0" collapsed="false">
      <c r="A7" s="13" t="s">
        <v>174</v>
      </c>
      <c r="B7" s="43" t="n">
        <f aca="false">'Airtel BRSR Data'!B11/'Airtel BRSR Data'!B6</f>
        <v>0.0943096564021951</v>
      </c>
      <c r="C7" s="13" t="s">
        <v>175</v>
      </c>
      <c r="D7" s="13" t="s">
        <v>176</v>
      </c>
    </row>
    <row r="8" customFormat="false" ht="15" hidden="false" customHeight="true" outlineLevel="0" collapsed="false">
      <c r="A8" s="13" t="s">
        <v>177</v>
      </c>
      <c r="B8" s="16" t="n">
        <v>0</v>
      </c>
      <c r="C8" s="13" t="s">
        <v>26</v>
      </c>
      <c r="D8" s="13" t="s">
        <v>178</v>
      </c>
    </row>
    <row r="9" customFormat="false" ht="15" hidden="false" customHeight="true" outlineLevel="0" collapsed="false">
      <c r="A9" s="13" t="s">
        <v>179</v>
      </c>
      <c r="B9" s="42" t="n">
        <f aca="false">'Airtel BRSR Data'!B20/'Airtel BRSR Data'!B19</f>
        <v>0.727053140096618</v>
      </c>
      <c r="C9" s="13" t="s">
        <v>26</v>
      </c>
      <c r="D9" s="13" t="s">
        <v>180</v>
      </c>
    </row>
    <row r="11" customFormat="false" ht="15" hidden="false" customHeight="true" outlineLevel="0" collapsed="false">
      <c r="A11" s="35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2026-10-03T05:22:13Z</dcterms:created>
  <dc:creator>openpyxl</dc:creator>
  <dc:description/>
  <dc:language>en-US</dc:language>
  <cp:lastModifiedBy/>
  <dcterms:modified xsi:type="dcterms:W3CDTF">2026-10-03T05:22:13Z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